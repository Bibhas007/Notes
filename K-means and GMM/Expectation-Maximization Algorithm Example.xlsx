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<sst xmlns="http://schemas.openxmlformats.org/spreadsheetml/2006/main" count="82" uniqueCount="54">
  <si>
    <t>Expectation-Maximization Algorithm Example</t>
  </si>
  <si>
    <t>Coin 1</t>
  </si>
  <si>
    <t>C1</t>
  </si>
  <si>
    <t>Coin 2</t>
  </si>
  <si>
    <t>C2</t>
  </si>
  <si>
    <t>Bias of Coin 1</t>
  </si>
  <si>
    <t>θ1</t>
  </si>
  <si>
    <t>Probability of getting Head from coin 1</t>
  </si>
  <si>
    <t>Bias of Coin 2</t>
  </si>
  <si>
    <t>θ2</t>
  </si>
  <si>
    <t>Probability of getting Head from coin 2</t>
  </si>
  <si>
    <t>We will try to find θ1 and θ2 in number of trials.</t>
  </si>
  <si>
    <t>Solution</t>
  </si>
  <si>
    <t>Action</t>
  </si>
  <si>
    <t>Trial</t>
  </si>
  <si>
    <t>1st choose any coin</t>
  </si>
  <si>
    <t>5 times</t>
  </si>
  <si>
    <t>2nd we will flip choosen coin</t>
  </si>
  <si>
    <t>10 times</t>
  </si>
  <si>
    <t>NA</t>
  </si>
  <si>
    <t>5H 5T</t>
  </si>
  <si>
    <t>9H1T</t>
  </si>
  <si>
    <t>8H 2T</t>
  </si>
  <si>
    <t>4H6T</t>
  </si>
  <si>
    <t>7H 3T</t>
  </si>
  <si>
    <t>24H 6T</t>
  </si>
  <si>
    <t>9H 11T</t>
  </si>
  <si>
    <t>Now if know above table is not label Coin 1 and Coin 2, we will not be able calculate θ1 and θ2.By using EM algorith, its possible to calculate .</t>
  </si>
  <si>
    <t>Lets assume as θ1 = 0.6 and θ2 = 0.5</t>
  </si>
  <si>
    <t>Lets assume as θ1 = 0.71 and θ2 = 0.58</t>
  </si>
  <si>
    <t>P(Experiment | coin 1 choosen)</t>
  </si>
  <si>
    <t>P(E|C1)</t>
  </si>
  <si>
    <t>P(Experiment | coin 2 choosen)</t>
  </si>
  <si>
    <t>P(E|C2)</t>
  </si>
  <si>
    <t>Binomial Dist</t>
  </si>
  <si>
    <t>Lets take probability of each coin to be choosen first</t>
  </si>
  <si>
    <t>10 trials output</t>
  </si>
  <si>
    <t>H</t>
  </si>
  <si>
    <t>T</t>
  </si>
  <si>
    <t>factorial 10</t>
  </si>
  <si>
    <t>factorial of Head</t>
  </si>
  <si>
    <t>factorial(trials - head)</t>
  </si>
  <si>
    <t>factorial of Head / factorial(trials - head)</t>
  </si>
  <si>
    <t>9H 1T</t>
  </si>
  <si>
    <t>4H 6T</t>
  </si>
  <si>
    <t>This is likelihood probability</t>
  </si>
  <si>
    <t>Actual Probability</t>
  </si>
  <si>
    <t>Total Head and Tail</t>
  </si>
  <si>
    <t>P(C1|E)</t>
  </si>
  <si>
    <t>P(C2|E)</t>
  </si>
  <si>
    <t>Total</t>
  </si>
  <si>
    <t>coin 1</t>
  </si>
  <si>
    <t>coin 2</t>
  </si>
  <si>
    <t>Again if we take above θ1 and θ2 values and initialize θ1 and θ2, we will get another set of θ1 and θ2. If we continue this process , after 10iteration, we will get vakue of θ1 and θ2 as,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</si>
</sst>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b/>
      <color rgb="FF4A86E8"/>
      <name val="Arial"/>
      <scheme val="minor"/>
    </font>
    <font>
      <b/>
      <sz val="11.0"/>
      <color rgb="FF4A86E8"/>
      <name val="&quot;Google Sans&quot;"/>
    </font>
    <font>
      <color theme="1"/>
      <name val="Arial"/>
      <scheme val="minor"/>
    </font>
    <font>
      <color rgb="FF000000"/>
      <name val="Arial"/>
      <scheme val="minor"/>
    </font>
    <font>
      <i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1" fillId="5" fontId="7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6" fontId="2" numFmtId="0" xfId="0" applyAlignment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7" fontId="2" numFmtId="0" xfId="0" applyBorder="1" applyFont="1"/>
    <xf borderId="1" fillId="7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8" fontId="2" numFmtId="0" xfId="0" applyAlignment="1" applyBorder="1" applyFill="1" applyFont="1">
      <alignment readingOrder="0"/>
    </xf>
    <xf borderId="1" fillId="0" fontId="6" numFmtId="0" xfId="0" applyBorder="1" applyFont="1"/>
    <xf borderId="0" fillId="8" fontId="2" numFmtId="0" xfId="0" applyAlignment="1" applyFont="1">
      <alignment readingOrder="0"/>
    </xf>
    <xf borderId="2" fillId="6" fontId="2" numFmtId="0" xfId="0" applyAlignment="1" applyBorder="1" applyFont="1">
      <alignment readingOrder="0"/>
    </xf>
    <xf borderId="3" fillId="0" fontId="9" numFmtId="0" xfId="0" applyBorder="1" applyFont="1"/>
    <xf borderId="1" fillId="6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39</xdr:row>
      <xdr:rowOff>142875</xdr:rowOff>
    </xdr:from>
    <xdr:ext cx="226695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3" max="3" width="29.25"/>
    <col customWidth="1" min="5" max="5" width="15.13"/>
    <col customWidth="1" min="7" max="7" width="32.38"/>
  </cols>
  <sheetData>
    <row r="2">
      <c r="A2" s="1" t="s">
        <v>0</v>
      </c>
      <c r="B2" s="2"/>
    </row>
    <row r="3">
      <c r="A3" s="2"/>
      <c r="B3" s="2"/>
    </row>
    <row r="4">
      <c r="A4" s="2"/>
      <c r="B4" s="2"/>
    </row>
    <row r="5">
      <c r="A5" s="3" t="s">
        <v>1</v>
      </c>
      <c r="B5" s="4" t="s">
        <v>2</v>
      </c>
    </row>
    <row r="6">
      <c r="A6" s="3" t="s">
        <v>3</v>
      </c>
      <c r="B6" s="4" t="s">
        <v>4</v>
      </c>
    </row>
    <row r="8">
      <c r="A8" s="5" t="s">
        <v>5</v>
      </c>
      <c r="B8" s="6" t="s">
        <v>6</v>
      </c>
      <c r="C8" s="7" t="s">
        <v>7</v>
      </c>
    </row>
    <row r="9">
      <c r="A9" s="5" t="s">
        <v>8</v>
      </c>
      <c r="B9" s="6" t="s">
        <v>9</v>
      </c>
      <c r="C9" s="7" t="s">
        <v>10</v>
      </c>
    </row>
    <row r="11">
      <c r="A11" s="2" t="s">
        <v>11</v>
      </c>
    </row>
    <row r="13">
      <c r="A13" s="8" t="s">
        <v>12</v>
      </c>
    </row>
    <row r="15">
      <c r="A15" s="9" t="s">
        <v>13</v>
      </c>
      <c r="B15" s="9" t="s">
        <v>14</v>
      </c>
    </row>
    <row r="16">
      <c r="A16" s="7" t="s">
        <v>15</v>
      </c>
      <c r="B16" s="7" t="s">
        <v>16</v>
      </c>
    </row>
    <row r="17">
      <c r="A17" s="7" t="s">
        <v>17</v>
      </c>
      <c r="B17" s="7" t="s">
        <v>18</v>
      </c>
    </row>
    <row r="20">
      <c r="A20" s="10" t="s">
        <v>1</v>
      </c>
      <c r="B20" s="10" t="s">
        <v>3</v>
      </c>
    </row>
    <row r="21">
      <c r="A21" s="11" t="s">
        <v>19</v>
      </c>
      <c r="B21" s="7" t="s">
        <v>20</v>
      </c>
    </row>
    <row r="22">
      <c r="A22" s="7" t="s">
        <v>21</v>
      </c>
      <c r="B22" s="11" t="s">
        <v>19</v>
      </c>
    </row>
    <row r="23">
      <c r="A23" s="7" t="s">
        <v>22</v>
      </c>
      <c r="B23" s="11" t="s">
        <v>19</v>
      </c>
    </row>
    <row r="24">
      <c r="A24" s="11" t="s">
        <v>19</v>
      </c>
      <c r="B24" s="7" t="s">
        <v>23</v>
      </c>
    </row>
    <row r="25">
      <c r="A25" s="7" t="s">
        <v>24</v>
      </c>
      <c r="B25" s="11" t="s">
        <v>19</v>
      </c>
    </row>
    <row r="26">
      <c r="A26" s="12" t="s">
        <v>25</v>
      </c>
      <c r="B26" s="12" t="s">
        <v>26</v>
      </c>
    </row>
    <row r="28">
      <c r="A28" s="13" t="s">
        <v>6</v>
      </c>
      <c r="B28" s="14">
        <f>24/(24+6)</f>
        <v>0.8</v>
      </c>
      <c r="C28" s="15" t="s">
        <v>7</v>
      </c>
    </row>
    <row r="29">
      <c r="A29" s="13" t="s">
        <v>9</v>
      </c>
      <c r="B29" s="14">
        <f>9/(9+11)</f>
        <v>0.45</v>
      </c>
      <c r="C29" s="15" t="s">
        <v>10</v>
      </c>
    </row>
    <row r="32">
      <c r="A32" s="2" t="s">
        <v>27</v>
      </c>
    </row>
    <row r="34">
      <c r="A34" s="16" t="s">
        <v>28</v>
      </c>
      <c r="B34" s="16" t="s">
        <v>29</v>
      </c>
    </row>
    <row r="36">
      <c r="A36" s="16" t="s">
        <v>30</v>
      </c>
      <c r="B36" s="16" t="s">
        <v>31</v>
      </c>
    </row>
    <row r="37">
      <c r="A37" s="16" t="s">
        <v>32</v>
      </c>
      <c r="B37" s="16" t="s">
        <v>33</v>
      </c>
    </row>
    <row r="42">
      <c r="A42" s="16" t="s">
        <v>34</v>
      </c>
    </row>
    <row r="48">
      <c r="A48" s="16" t="s">
        <v>35</v>
      </c>
    </row>
    <row r="50">
      <c r="A50" s="17" t="s">
        <v>36</v>
      </c>
      <c r="B50" s="17" t="s">
        <v>37</v>
      </c>
      <c r="C50" s="17" t="s">
        <v>38</v>
      </c>
      <c r="D50" s="17" t="s">
        <v>39</v>
      </c>
      <c r="E50" s="17" t="s">
        <v>40</v>
      </c>
      <c r="F50" s="17" t="s">
        <v>41</v>
      </c>
      <c r="G50" s="17" t="s">
        <v>42</v>
      </c>
    </row>
    <row r="51">
      <c r="A51" s="7" t="s">
        <v>20</v>
      </c>
      <c r="B51" s="7">
        <v>5.0</v>
      </c>
      <c r="C51" s="7">
        <v>5.0</v>
      </c>
      <c r="D51" s="18">
        <f t="shared" ref="D51:D55" si="1">fact(10)</f>
        <v>3628800</v>
      </c>
      <c r="E51" s="18">
        <f t="shared" ref="E51:E55" si="2">FACT(B51)</f>
        <v>120</v>
      </c>
      <c r="F51" s="18">
        <f t="shared" ref="F51:F55" si="3">fact(10-B51)</f>
        <v>120</v>
      </c>
      <c r="G51" s="18">
        <f t="shared" ref="G51:G55" si="4">D51/(FACT(B51)*F51)</f>
        <v>252</v>
      </c>
    </row>
    <row r="52">
      <c r="A52" s="7" t="s">
        <v>43</v>
      </c>
      <c r="B52" s="7">
        <v>9.0</v>
      </c>
      <c r="C52" s="7">
        <v>1.0</v>
      </c>
      <c r="D52" s="18">
        <f t="shared" si="1"/>
        <v>3628800</v>
      </c>
      <c r="E52" s="18">
        <f t="shared" si="2"/>
        <v>362880</v>
      </c>
      <c r="F52" s="18">
        <f t="shared" si="3"/>
        <v>1</v>
      </c>
      <c r="G52" s="18">
        <f t="shared" si="4"/>
        <v>10</v>
      </c>
    </row>
    <row r="53">
      <c r="A53" s="7" t="s">
        <v>22</v>
      </c>
      <c r="B53" s="7">
        <v>8.0</v>
      </c>
      <c r="C53" s="7">
        <v>2.0</v>
      </c>
      <c r="D53" s="18">
        <f t="shared" si="1"/>
        <v>3628800</v>
      </c>
      <c r="E53" s="18">
        <f t="shared" si="2"/>
        <v>40320</v>
      </c>
      <c r="F53" s="18">
        <f t="shared" si="3"/>
        <v>2</v>
      </c>
      <c r="G53" s="18">
        <f t="shared" si="4"/>
        <v>45</v>
      </c>
    </row>
    <row r="54">
      <c r="A54" s="7" t="s">
        <v>44</v>
      </c>
      <c r="B54" s="7">
        <v>4.0</v>
      </c>
      <c r="C54" s="7">
        <v>6.0</v>
      </c>
      <c r="D54" s="18">
        <f t="shared" si="1"/>
        <v>3628800</v>
      </c>
      <c r="E54" s="18">
        <f t="shared" si="2"/>
        <v>24</v>
      </c>
      <c r="F54" s="18">
        <f t="shared" si="3"/>
        <v>720</v>
      </c>
      <c r="G54" s="18">
        <f t="shared" si="4"/>
        <v>210</v>
      </c>
    </row>
    <row r="55">
      <c r="A55" s="7" t="s">
        <v>24</v>
      </c>
      <c r="B55" s="7">
        <v>7.0</v>
      </c>
      <c r="C55" s="7">
        <v>3.0</v>
      </c>
      <c r="D55" s="18">
        <f t="shared" si="1"/>
        <v>3628800</v>
      </c>
      <c r="E55" s="18">
        <f t="shared" si="2"/>
        <v>5040</v>
      </c>
      <c r="F55" s="18">
        <f t="shared" si="3"/>
        <v>6</v>
      </c>
      <c r="G55" s="18">
        <f t="shared" si="4"/>
        <v>120</v>
      </c>
    </row>
    <row r="57">
      <c r="A57" s="19" t="s">
        <v>45</v>
      </c>
      <c r="D57" s="19" t="s">
        <v>46</v>
      </c>
      <c r="F57" s="17" t="s">
        <v>47</v>
      </c>
    </row>
    <row r="58">
      <c r="A58" s="17" t="s">
        <v>31</v>
      </c>
      <c r="B58" s="17" t="s">
        <v>33</v>
      </c>
      <c r="D58" s="17" t="s">
        <v>48</v>
      </c>
      <c r="E58" s="17" t="s">
        <v>49</v>
      </c>
      <c r="F58" s="18"/>
    </row>
    <row r="59">
      <c r="A59" s="18">
        <f t="shared" ref="A59:A63" si="5">G51 * (0.6)^B51 * (0.4)^C51</f>
        <v>0.2006581248</v>
      </c>
      <c r="B59" s="18">
        <f t="shared" ref="B59:B63" si="6">G51 * (0.5)^B51 * (0.5)^C51</f>
        <v>0.24609375</v>
      </c>
      <c r="D59" s="18">
        <f t="shared" ref="D59:D63" si="7">A59/(A59+B59)</f>
        <v>0.4491489261</v>
      </c>
      <c r="E59" s="18">
        <f t="shared" ref="E59:E63" si="8">B59/(A59+B59)</f>
        <v>0.5508510739</v>
      </c>
      <c r="F59" s="18">
        <f t="shared" ref="F59:F63" si="9">D59+E59</f>
        <v>1</v>
      </c>
    </row>
    <row r="60">
      <c r="A60" s="18">
        <f t="shared" si="5"/>
        <v>0.040310784</v>
      </c>
      <c r="B60" s="18">
        <f t="shared" si="6"/>
        <v>0.009765625</v>
      </c>
      <c r="D60" s="18">
        <f t="shared" si="7"/>
        <v>0.8049855172</v>
      </c>
      <c r="E60" s="18">
        <f t="shared" si="8"/>
        <v>0.1950144828</v>
      </c>
      <c r="F60" s="18">
        <f t="shared" si="9"/>
        <v>1</v>
      </c>
    </row>
    <row r="61">
      <c r="A61" s="18">
        <f t="shared" si="5"/>
        <v>0.120932352</v>
      </c>
      <c r="B61" s="18">
        <f t="shared" si="6"/>
        <v>0.0439453125</v>
      </c>
      <c r="D61" s="18">
        <f t="shared" si="7"/>
        <v>0.733467158</v>
      </c>
      <c r="E61" s="18">
        <f t="shared" si="8"/>
        <v>0.266532842</v>
      </c>
      <c r="F61" s="18">
        <f t="shared" si="9"/>
        <v>1</v>
      </c>
    </row>
    <row r="62">
      <c r="A62" s="18">
        <f t="shared" si="5"/>
        <v>0.111476736</v>
      </c>
      <c r="B62" s="18">
        <f t="shared" si="6"/>
        <v>0.205078125</v>
      </c>
      <c r="D62" s="18">
        <f t="shared" si="7"/>
        <v>0.3521561338</v>
      </c>
      <c r="E62" s="18">
        <f t="shared" si="8"/>
        <v>0.6478438662</v>
      </c>
      <c r="F62" s="18">
        <f t="shared" si="9"/>
        <v>1</v>
      </c>
    </row>
    <row r="63">
      <c r="A63" s="18">
        <f t="shared" si="5"/>
        <v>0.214990848</v>
      </c>
      <c r="B63" s="18">
        <f t="shared" si="6"/>
        <v>0.1171875</v>
      </c>
      <c r="D63" s="18">
        <f t="shared" si="7"/>
        <v>0.6472151159</v>
      </c>
      <c r="E63" s="18">
        <f t="shared" si="8"/>
        <v>0.3527848841</v>
      </c>
      <c r="F63" s="18">
        <f t="shared" si="9"/>
        <v>1</v>
      </c>
    </row>
    <row r="68">
      <c r="A68" s="20" t="s">
        <v>50</v>
      </c>
      <c r="B68" s="20" t="s">
        <v>50</v>
      </c>
      <c r="C68" s="20" t="s">
        <v>51</v>
      </c>
      <c r="D68" s="21"/>
      <c r="E68" s="20" t="s">
        <v>52</v>
      </c>
      <c r="F68" s="21"/>
    </row>
    <row r="69">
      <c r="A69" s="22" t="s">
        <v>37</v>
      </c>
      <c r="B69" s="22" t="s">
        <v>38</v>
      </c>
      <c r="C69" s="22" t="s">
        <v>37</v>
      </c>
      <c r="D69" s="22" t="s">
        <v>38</v>
      </c>
      <c r="E69" s="22" t="s">
        <v>37</v>
      </c>
      <c r="F69" s="22" t="s">
        <v>38</v>
      </c>
    </row>
    <row r="70">
      <c r="A70" s="7">
        <v>5.0</v>
      </c>
      <c r="B70" s="7">
        <v>5.0</v>
      </c>
      <c r="C70" s="18">
        <f t="shared" ref="C70:C74" si="10">D59*A70</f>
        <v>2.245744631</v>
      </c>
      <c r="D70" s="18">
        <f t="shared" ref="D70:D74" si="11">D59*B70</f>
        <v>2.245744631</v>
      </c>
      <c r="E70" s="18">
        <f t="shared" ref="E70:E74" si="12">E59*A70</f>
        <v>2.754255369</v>
      </c>
      <c r="F70" s="18">
        <f t="shared" ref="F70:F74" si="13">E59*B70</f>
        <v>2.754255369</v>
      </c>
    </row>
    <row r="71">
      <c r="A71" s="7">
        <v>9.0</v>
      </c>
      <c r="B71" s="7">
        <v>1.0</v>
      </c>
      <c r="C71" s="18">
        <f t="shared" si="10"/>
        <v>7.244869655</v>
      </c>
      <c r="D71" s="18">
        <f t="shared" si="11"/>
        <v>0.8049855172</v>
      </c>
      <c r="E71" s="18">
        <f t="shared" si="12"/>
        <v>1.755130345</v>
      </c>
      <c r="F71" s="18">
        <f t="shared" si="13"/>
        <v>0.1950144828</v>
      </c>
    </row>
    <row r="72">
      <c r="A72" s="7">
        <v>8.0</v>
      </c>
      <c r="B72" s="7">
        <v>2.0</v>
      </c>
      <c r="C72" s="18">
        <f t="shared" si="10"/>
        <v>5.867737264</v>
      </c>
      <c r="D72" s="18">
        <f t="shared" si="11"/>
        <v>1.466934316</v>
      </c>
      <c r="E72" s="18">
        <f t="shared" si="12"/>
        <v>2.132262736</v>
      </c>
      <c r="F72" s="18">
        <f t="shared" si="13"/>
        <v>0.533065684</v>
      </c>
    </row>
    <row r="73">
      <c r="A73" s="7">
        <v>4.0</v>
      </c>
      <c r="B73" s="7">
        <v>6.0</v>
      </c>
      <c r="C73" s="18">
        <f t="shared" si="10"/>
        <v>1.408624535</v>
      </c>
      <c r="D73" s="18">
        <f t="shared" si="11"/>
        <v>2.112936803</v>
      </c>
      <c r="E73" s="18">
        <f t="shared" si="12"/>
        <v>2.591375465</v>
      </c>
      <c r="F73" s="18">
        <f t="shared" si="13"/>
        <v>3.887063197</v>
      </c>
    </row>
    <row r="74">
      <c r="A74" s="7">
        <v>7.0</v>
      </c>
      <c r="B74" s="7">
        <v>3.0</v>
      </c>
      <c r="C74" s="18">
        <f t="shared" si="10"/>
        <v>4.530505811</v>
      </c>
      <c r="D74" s="18">
        <f t="shared" si="11"/>
        <v>1.941645348</v>
      </c>
      <c r="E74" s="18">
        <f t="shared" si="12"/>
        <v>2.469494189</v>
      </c>
      <c r="F74" s="18">
        <f t="shared" si="13"/>
        <v>1.058354652</v>
      </c>
    </row>
    <row r="75">
      <c r="C75" s="23">
        <f t="shared" ref="C75:F75" si="14">SUM(C70:C74)</f>
        <v>21.2974819</v>
      </c>
      <c r="D75" s="23">
        <f t="shared" si="14"/>
        <v>8.572246615</v>
      </c>
      <c r="E75" s="23">
        <f t="shared" si="14"/>
        <v>11.7025181</v>
      </c>
      <c r="F75" s="23">
        <f t="shared" si="14"/>
        <v>8.427753385</v>
      </c>
    </row>
    <row r="79">
      <c r="A79" s="5" t="s">
        <v>6</v>
      </c>
      <c r="B79" s="23">
        <f>C75/(C75+D75)</f>
        <v>0.7130122354</v>
      </c>
    </row>
    <row r="80">
      <c r="A80" s="5" t="s">
        <v>9</v>
      </c>
      <c r="B80" s="23">
        <f>E75/(E75+F75)</f>
        <v>0.5813393083</v>
      </c>
    </row>
    <row r="83">
      <c r="A83" s="16" t="s">
        <v>53</v>
      </c>
    </row>
    <row r="86">
      <c r="A86" s="14" t="s">
        <v>6</v>
      </c>
      <c r="B86" s="14">
        <f>24/(24+6)</f>
        <v>0.8</v>
      </c>
      <c r="C86" s="15" t="s">
        <v>7</v>
      </c>
    </row>
    <row r="87">
      <c r="A87" s="14" t="s">
        <v>9</v>
      </c>
      <c r="B87" s="14">
        <f>9/(9+11)</f>
        <v>0.45</v>
      </c>
      <c r="C87" s="15" t="s">
        <v>10</v>
      </c>
    </row>
  </sheetData>
  <mergeCells count="4">
    <mergeCell ref="C68:D68"/>
    <mergeCell ref="E68:F68"/>
    <mergeCell ref="A57:B57"/>
    <mergeCell ref="D57:E57"/>
  </mergeCells>
  <drawing r:id="rId1"/>
</worksheet>
</file>